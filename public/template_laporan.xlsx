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Indik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<sst xmlns="http://schemas.openxmlformats.org/spreadsheetml/2006/main" count="84" uniqueCount="56">
  <si>
    <t xml:space="preserve">LOGO
PEMDA</t>
  </si>
  <si>
    <t xml:space="preserve">PEMERINTAH KABUPATEN/KOTA ...........</t>
  </si>
  <si>
    <t xml:space="preserve">DINAS KOMUNIKASI DAN INFORMATIKA</t>
  </si>
  <si>
    <t xml:space="preserve">Jalan ..........................., Telp. (....) ......., Email: diskominfo@...........go.id, Website: diskominfo...........go.id</t>
  </si>
  <si>
    <t xml:space="preserve">LAPORAN ANALISIS CAPAIAN PEMDI</t>
  </si>
  <si>
    <t xml:space="preserve">(Pemerintahan Digital Indonesia)</t>
  </si>
  <si>
    <t xml:space="preserve">Nama Instansi</t>
  </si>
  <si>
    <t xml:space="preserve">Diisi sesuai nama instansi</t>
  </si>
  <si>
    <t xml:space="preserve">Tahun Penilaian</t>
  </si>
  <si>
    <t xml:space="preserve">No</t>
  </si>
  <si>
    <t xml:space="preserve">Aspek</t>
  </si>
  <si>
    <t xml:space="preserve">Bobot (%)</t>
  </si>
  <si>
    <t xml:space="preserve">Rata-rata Nilai Capaian</t>
  </si>
  <si>
    <t xml:space="preserve">Jumlah Indikator</t>
  </si>
  <si>
    <t xml:space="preserve">Tata Kelola dan Manajemen</t>
  </si>
  <si>
    <t xml:space="preserve">Penyelenggara</t>
  </si>
  <si>
    <t xml:space="preserve">Data</t>
  </si>
  <si>
    <t xml:space="preserve">Keamanan Pemerintah Digital Siber</t>
  </si>
  <si>
    <t xml:space="preserve">Teknologi Digital</t>
  </si>
  <si>
    <t xml:space="preserve">Keterpaduan Layanan Digital Pemerintah</t>
  </si>
  <si>
    <t xml:space="preserve">Kepuasan Pengguna Layanan Digital Pemerintah</t>
  </si>
  <si>
    <t xml:space="preserve">TOTAL / NILAI AKHIR PEMDI</t>
  </si>
  <si>
    <t xml:space="preserve">Keterangan:</t>
  </si>
  <si>
    <t xml:space="preserve">- Sel berwarna kuning adalah sel yang dapat/perlu diisi oleh pengguna.</t>
  </si>
  <si>
    <t xml:space="preserve">- Kolom 'Rata-rata Nilai Capaian' dan 'Jumlah Indikator' terhubung otomatis (formula) ke sheet 'Indikator'; nilai per indikator diisi pada sheet 'Indikator'.</t>
  </si>
  <si>
    <t xml:space="preserve">- Bobot tiap Aspek = total bobot indikator penyusunnya (lihat sheet 'Indikator').</t>
  </si>
  <si>
    <t xml:space="preserve">- Nama &amp; bobot indikator mengacu pada Permenpan RB No. 8 Tahun 2026 tentang Evaluasi Kinerja Pemerintah Digital; untuk Aspek Teknologi Digital, Keterpaduan Layanan Digital, dan Kepuasan Pengguna, nama/pembagian bobot indikator bersifat estimasi dan agar disesuaikan dengan pedoman resmi/instrumen penilaian terbaru dari instansi pembina.</t>
  </si>
  <si>
    <t xml:space="preserve">DETAIL INDIKATOR PENILAIAN PEMDI</t>
  </si>
  <si>
    <t xml:space="preserve">Indikator</t>
  </si>
  <si>
    <t xml:space="preserve">Nilai Capaian</t>
  </si>
  <si>
    <t xml:space="preserve">Nilai Tertimbang</t>
  </si>
  <si>
    <t xml:space="preserve">Tata Kelola Pemerintah Digital</t>
  </si>
  <si>
    <t xml:space="preserve">Manajemen Layanan Digital Pemerintah</t>
  </si>
  <si>
    <t xml:space="preserve">Kompetensi SDM Digital</t>
  </si>
  <si>
    <t xml:space="preserve">Kolaborasi Pemerintah Digital</t>
  </si>
  <si>
    <t xml:space="preserve">Tata Kelola Data</t>
  </si>
  <si>
    <t xml:space="preserve">Informasi Geospasial</t>
  </si>
  <si>
    <t xml:space="preserve">Statistik Sektoral</t>
  </si>
  <si>
    <t xml:space="preserve">Pelindungan Data Pribadi (PDP)</t>
  </si>
  <si>
    <t xml:space="preserve">Audit Keamanan</t>
  </si>
  <si>
    <t xml:space="preserve">Keamanan Siber</t>
  </si>
  <si>
    <t xml:space="preserve">Penerapan Kriptografi</t>
  </si>
  <si>
    <t xml:space="preserve">Penanganan Insiden Siber</t>
  </si>
  <si>
    <t xml:space="preserve">Infrastruktur Digital</t>
  </si>
  <si>
    <t xml:space="preserve">Aplikasi dan Sistem Elektronik</t>
  </si>
  <si>
    <t xml:space="preserve">Interoperabilitas Data</t>
  </si>
  <si>
    <t xml:space="preserve">Integrasi Layanan Digital</t>
  </si>
  <si>
    <t xml:space="preserve">Portal Pelayanan Publik Terpadu</t>
  </si>
  <si>
    <t xml:space="preserve">Keterpaduan Proses Bisnis</t>
  </si>
  <si>
    <t xml:space="preserve">Tingkat Kepuasan Pengguna Layanan</t>
  </si>
  <si>
    <t xml:space="preserve">Rating dan Ulasan Layanan Digital</t>
  </si>
  <si>
    <t xml:space="preserve">TOTAL</t>
  </si>
  <si>
    <t xml:space="preserve">- Kolom 'Nilai Capaian' (kuning) diisi oleh pengguna dengan skor hasil penilaian mandiri/verifikasi untuk masing-masing indikator (skala sesuai instrumen resmi, contoh 0-4 atau 0-100).</t>
  </si>
  <si>
    <t xml:space="preserve">- Kolom 'Nilai Tertimbang' = Bobot x Nilai Capaian / 100, dihitung otomatis.</t>
  </si>
  <si>
    <t xml:space="preserve">- Total bobot indikator per Aspek telah disesuaikan agar sama dengan bobot Aspek pada sheet 'Ringkasan'.</t>
  </si>
  <si>
    <t xml:space="preserve">- Baris contoh: nilai 0.00 adalah nilai awal/placeholder mengikuti data sumber; ganti dengan hasil penilaian sebenarnya.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</si>
</sst>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5"/>
      <name val="Arial"/>
      <family val="0"/>
      <charset val="1"/>
    </font>
    <font>
      <sz val="9"/>
      <name val="Arial"/>
      <family val="0"/>
      <charset val="1"/>
    </font>
    <font>
      <sz val="1"/>
      <name val="Cambria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  <border diagonalUp="false" diagonalDown="false">
      <left/>
      <right/>
      <top/>
      <bottom style="thick">
        <color rgb="FF1F4E78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7B7B7"/>
      <rgbColor rgb="FF808080"/>
      <rgbColor rgb="FF93A9CE"/>
      <rgbColor rgb="FFAB4744"/>
      <rgbColor rgb="FFF9F9F9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672A8"/>
      <rgbColor rgb="FF33CCCC"/>
      <rgbColor rgb="FF99CC00"/>
      <rgbColor rgb="FFFFCC00"/>
      <rgbColor rgb="FFFF9900"/>
      <rgbColor rgb="FFFF6600"/>
      <rgbColor rgb="FF725990"/>
      <rgbColor rgb="FF878787"/>
      <rgbColor rgb="FF003366"/>
      <rgbColor rgb="FF4299B0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Bobot (%) vs Rata-rata Nilai Capaian per Aspek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Ringkasan!C13</c:f>
              <c:strCache>
                <c:ptCount val="1"/>
                <c:pt idx="0">
                  <c:v>Bobot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Ringkasan!$B$14:$B$20</c:f>
              <c:strCache>
                <c:ptCount val="7"/>
                <c:pt idx="0">
                  <c:v>Tata Kelola dan Manajemen</c:v>
                </c:pt>
                <c:pt idx="1">
                  <c:v>Penyelenggara</c:v>
                </c:pt>
                <c:pt idx="2">
                  <c:v>Data</c:v>
                </c:pt>
                <c:pt idx="3">
                  <c:v>Keamanan Pemerintah Digital Siber</c:v>
                </c:pt>
                <c:pt idx="4">
                  <c:v>Teknologi Digital</c:v>
                </c:pt>
                <c:pt idx="5">
                  <c:v>Keterpaduan Layanan Digital Pemerintah</c:v>
                </c:pt>
                <c:pt idx="6">
                  <c:v>Kepuasan Pengguna Layanan Digital Pemerintah</c:v>
                </c:pt>
              </c:strCache>
            </c:strRef>
          </c:cat>
          <c:val>
            <c:numRef>
              <c:f>Ringkasan!$C$14:$C$20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15</c:v>
                </c:pt>
                <c:pt idx="4">
                  <c:v>10</c:v>
                </c:pt>
                <c:pt idx="5">
                  <c:v>15</c:v>
                </c:pt>
                <c:pt idx="6">
                  <c:v>25</c:v>
                </c:pt>
              </c:numCache>
            </c:numRef>
          </c:val>
        </c:ser>
        <c:ser>
          <c:idx val="1"/>
          <c:order val="1"/>
          <c:tx>
            <c:strRef>
              <c:f>Ringkasan!D13</c:f>
              <c:strCache>
                <c:ptCount val="1"/>
                <c:pt idx="0">
                  <c:v>Rata-rata Nilai Capaian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Ringkasan!$B$14:$B$20</c:f>
              <c:strCache>
                <c:ptCount val="7"/>
                <c:pt idx="0">
                  <c:v>Tata Kelola dan Manajemen</c:v>
                </c:pt>
                <c:pt idx="1">
                  <c:v>Penyelenggara</c:v>
                </c:pt>
                <c:pt idx="2">
                  <c:v>Data</c:v>
                </c:pt>
                <c:pt idx="3">
                  <c:v>Keamanan Pemerintah Digital Siber</c:v>
                </c:pt>
                <c:pt idx="4">
                  <c:v>Teknologi Digital</c:v>
                </c:pt>
                <c:pt idx="5">
                  <c:v>Keterpaduan Layanan Digital Pemerintah</c:v>
                </c:pt>
                <c:pt idx="6">
                  <c:v>Kepuasan Pengguna Layanan Digital Pemerintah</c:v>
                </c:pt>
              </c:strCache>
            </c:strRef>
          </c:cat>
          <c:val>
            <c:numRef>
              <c:f>Ringkasan!$D$14:$D$20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27650635"/>
        <c:axId val="16120891"/>
      </c:barChart>
      <c:catAx>
        <c:axId val="276506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Aspek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20891"/>
        <c:crosses val="autoZero"/>
        <c:auto val="1"/>
        <c:lblAlgn val="ctr"/>
        <c:lblOffset val="100"/>
        <c:noMultiLvlLbl val="0"/>
      </c:catAx>
      <c:valAx>
        <c:axId val="16120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Nilai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506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Distribusi Bobot (%) per Aspek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Ringkasan!C13</c:f>
              <c:strCache>
                <c:ptCount val="1"/>
                <c:pt idx="0">
                  <c:v>Bobot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Ringkasan!$B$14:$B$20</c:f>
              <c:strCache>
                <c:ptCount val="7"/>
                <c:pt idx="0">
                  <c:v>Tata Kelola dan Manajemen</c:v>
                </c:pt>
                <c:pt idx="1">
                  <c:v>Penyelenggara</c:v>
                </c:pt>
                <c:pt idx="2">
                  <c:v>Data</c:v>
                </c:pt>
                <c:pt idx="3">
                  <c:v>Keamanan Pemerintah Digital Siber</c:v>
                </c:pt>
                <c:pt idx="4">
                  <c:v>Teknologi Digital</c:v>
                </c:pt>
                <c:pt idx="5">
                  <c:v>Keterpaduan Layanan Digital Pemerintah</c:v>
                </c:pt>
                <c:pt idx="6">
                  <c:v>Kepuasan Pengguna Layanan Digital Pemerintah</c:v>
                </c:pt>
              </c:strCache>
            </c:strRef>
          </c:cat>
          <c:val>
            <c:numRef>
              <c:f>Ringkasan!$C$14:$C$20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15</c:v>
                </c:pt>
                <c:pt idx="4">
                  <c:v>10</c:v>
                </c:pt>
                <c:pt idx="5">
                  <c:v>15</c:v>
                </c:pt>
                <c:pt idx="6">
                  <c:v>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Nilai Capaian per Indikator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Indikator!E9</c:f>
              <c:strCache>
                <c:ptCount val="1"/>
                <c:pt idx="0">
                  <c:v>Nilai Capaian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Indikator!$C$10:$C$29</c:f>
              <c:strCache>
                <c:ptCount val="20"/>
                <c:pt idx="0">
                  <c:v>Tata Kelola Pemerintah Digital</c:v>
                </c:pt>
                <c:pt idx="1">
                  <c:v>Manajemen Layanan Digital Pemerintah</c:v>
                </c:pt>
                <c:pt idx="2">
                  <c:v>Kompetensi SDM Digital</c:v>
                </c:pt>
                <c:pt idx="3">
                  <c:v>Kolaborasi Pemerintah Digital</c:v>
                </c:pt>
                <c:pt idx="4">
                  <c:v>Tata Kelola Data</c:v>
                </c:pt>
                <c:pt idx="5">
                  <c:v>Informasi Geospasial</c:v>
                </c:pt>
                <c:pt idx="6">
                  <c:v>Statistik Sektoral</c:v>
                </c:pt>
                <c:pt idx="7">
                  <c:v>Pelindungan Data Pribadi (PDP)</c:v>
                </c:pt>
                <c:pt idx="8">
                  <c:v>Audit Keamanan</c:v>
                </c:pt>
                <c:pt idx="9">
                  <c:v>Keamanan Siber</c:v>
                </c:pt>
                <c:pt idx="10">
                  <c:v>Penerapan Kriptografi</c:v>
                </c:pt>
                <c:pt idx="11">
                  <c:v>Penanganan Insiden Siber</c:v>
                </c:pt>
                <c:pt idx="12">
                  <c:v>Infrastruktur Digital</c:v>
                </c:pt>
                <c:pt idx="13">
                  <c:v>Aplikasi dan Sistem Elektronik</c:v>
                </c:pt>
                <c:pt idx="14">
                  <c:v>Interoperabilitas Data</c:v>
                </c:pt>
                <c:pt idx="15">
                  <c:v>Integrasi Layanan Digital</c:v>
                </c:pt>
                <c:pt idx="16">
                  <c:v>Portal Pelayanan Publik Terpadu</c:v>
                </c:pt>
                <c:pt idx="17">
                  <c:v>Keterpaduan Proses Bisnis</c:v>
                </c:pt>
                <c:pt idx="18">
                  <c:v>Tingkat Kepuasan Pengguna Layanan</c:v>
                </c:pt>
                <c:pt idx="19">
                  <c:v>Rating dan Ulasan Layanan Digital</c:v>
                </c:pt>
              </c:strCache>
            </c:strRef>
          </c:cat>
          <c:val>
            <c:numRef>
              <c:f>Indikator!$E$10:$E$29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24614308"/>
        <c:axId val="88338997"/>
      </c:barChart>
      <c:catAx>
        <c:axId val="2461430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Nilai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38997"/>
        <c:crosses val="autoZero"/>
        <c:auto val="1"/>
        <c:lblAlgn val="ctr"/>
        <c:lblOffset val="100"/>
        <c:noMultiLvlLbl val="0"/>
      </c:catAx>
      <c:valAx>
        <c:axId val="88338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Indikator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143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335880</xdr:rowOff>
    </xdr:from>
    <xdr:to>
      <xdr:col>7</xdr:col>
      <xdr:colOff>70920</xdr:colOff>
      <xdr:row>43</xdr:row>
      <xdr:rowOff>110880</xdr:rowOff>
    </xdr:to>
    <xdr:graphicFrame>
      <xdr:nvGraphicFramePr>
        <xdr:cNvPr id="0" name="Chart 1"/>
        <xdr:cNvGraphicFramePr/>
      </xdr:nvGraphicFramePr>
      <xdr:xfrm>
        <a:off x="0" y="5848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26</xdr:row>
      <xdr:rowOff>335880</xdr:rowOff>
    </xdr:from>
    <xdr:to>
      <xdr:col>18</xdr:col>
      <xdr:colOff>507600</xdr:colOff>
      <xdr:row>43</xdr:row>
      <xdr:rowOff>110880</xdr:rowOff>
    </xdr:to>
    <xdr:graphicFrame>
      <xdr:nvGraphicFramePr>
        <xdr:cNvPr id="1" name="Chart 2"/>
        <xdr:cNvGraphicFramePr/>
      </xdr:nvGraphicFramePr>
      <xdr:xfrm>
        <a:off x="9683280" y="58482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33120</xdr:rowOff>
    </xdr:from>
    <xdr:to>
      <xdr:col>5</xdr:col>
      <xdr:colOff>730080</xdr:colOff>
      <xdr:row>66</xdr:row>
      <xdr:rowOff>77760</xdr:rowOff>
    </xdr:to>
    <xdr:graphicFrame>
      <xdr:nvGraphicFramePr>
        <xdr:cNvPr id="2" name="Chart 1"/>
        <xdr:cNvGraphicFramePr/>
      </xdr:nvGraphicFramePr>
      <xdr:xfrm>
        <a:off x="0" y="7505640"/>
        <a:ext cx="791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8" hidden="false" customHeight="true" outlineLevel="0" collapsed="false">
      <c r="A1" s="1" t="s">
        <v>0</v>
      </c>
      <c r="B1" s="1"/>
      <c r="C1" s="2" t="s">
        <v>1</v>
      </c>
      <c r="D1" s="2"/>
      <c r="E1" s="2"/>
    </row>
    <row r="2" customFormat="false" ht="24" hidden="false" customHeight="true" outlineLevel="0" collapsed="false">
      <c r="A2" s="1"/>
      <c r="B2" s="1"/>
      <c r="C2" s="3" t="s">
        <v>2</v>
      </c>
      <c r="D2" s="3"/>
      <c r="E2" s="3"/>
    </row>
    <row r="3" customFormat="false" ht="13.5" hidden="false" customHeight="true" outlineLevel="0" collapsed="false">
      <c r="A3" s="1"/>
      <c r="B3" s="1"/>
      <c r="C3" s="4" t="s">
        <v>3</v>
      </c>
      <c r="D3" s="4"/>
      <c r="E3" s="4"/>
    </row>
    <row r="4" customFormat="false" ht="15" hidden="false" customHeight="false" outlineLevel="0" collapsed="false">
      <c r="A4" s="1"/>
      <c r="B4" s="1"/>
      <c r="C4" s="5"/>
      <c r="D4" s="5"/>
      <c r="E4" s="5"/>
    </row>
    <row r="5" customFormat="false" ht="15" hidden="false" customHeight="false" outlineLevel="0" collapsed="false">
      <c r="A5" s="6"/>
      <c r="B5" s="6"/>
      <c r="C5" s="6"/>
      <c r="D5" s="6"/>
      <c r="E5" s="6"/>
    </row>
    <row r="7" customFormat="false" ht="17.35" hidden="false" customHeight="true" outlineLevel="0" collapsed="false">
      <c r="A7" s="7" t="s">
        <v>4</v>
      </c>
      <c r="B7" s="7"/>
      <c r="C7" s="7"/>
      <c r="D7" s="7"/>
      <c r="E7" s="7"/>
    </row>
    <row r="8" customFormat="false" ht="15" hidden="false" customHeight="true" outlineLevel="0" collapsed="false">
      <c r="A8" s="8" t="s">
        <v>5</v>
      </c>
      <c r="B8" s="8"/>
      <c r="C8" s="8"/>
      <c r="D8" s="8"/>
      <c r="E8" s="8"/>
    </row>
    <row r="10" customFormat="false" ht="15" hidden="false" customHeight="false" outlineLevel="0" collapsed="false">
      <c r="A10" s="9" t="s">
        <v>6</v>
      </c>
      <c r="B10" s="10" t="s">
        <v>7</v>
      </c>
      <c r="C10" s="10"/>
      <c r="D10" s="10"/>
      <c r="E10" s="10"/>
    </row>
    <row r="11" customFormat="false" ht="15" hidden="false" customHeight="false" outlineLevel="0" collapsed="false">
      <c r="A11" s="9" t="s">
        <v>8</v>
      </c>
      <c r="B11" s="10" t="n">
        <v>2026</v>
      </c>
      <c r="C11" s="10"/>
      <c r="D11" s="10"/>
      <c r="E11" s="10"/>
    </row>
    <row r="13" customFormat="false" ht="30" hidden="false" customHeight="true" outlineLevel="0" collapsed="false">
      <c r="A13" s="11" t="s">
        <v>9</v>
      </c>
      <c r="B13" s="11" t="s">
        <v>10</v>
      </c>
      <c r="C13" s="11" t="s">
        <v>11</v>
      </c>
      <c r="D13" s="11" t="s">
        <v>12</v>
      </c>
      <c r="E13" s="11" t="s">
        <v>13</v>
      </c>
    </row>
    <row r="14" customFormat="false" ht="15" hidden="false" customHeight="false" outlineLevel="0" collapsed="false">
      <c r="A14" s="12" t="n">
        <v>1</v>
      </c>
      <c r="B14" s="13" t="s">
        <v>14</v>
      </c>
      <c r="C14" s="12" t="n">
        <v>10</v>
      </c>
      <c r="D14" s="14" t="n">
        <f aca="false">IFERROR(SUMPRODUCT((Indikator!$B$10:$B$29=B14)*Indikator!$D$10:$D$29*Indikator!$E$10:$E$29)/C14,0)</f>
        <v>0</v>
      </c>
      <c r="E14" s="12" t="n">
        <f aca="false">COUNTIF(Indikator!$B$10:$B$29,B14)</f>
        <v>2</v>
      </c>
    </row>
    <row r="15" customFormat="false" ht="15" hidden="false" customHeight="false" outlineLevel="0" collapsed="false">
      <c r="A15" s="12" t="n">
        <v>2</v>
      </c>
      <c r="B15" s="13" t="s">
        <v>15</v>
      </c>
      <c r="C15" s="12" t="n">
        <v>10</v>
      </c>
      <c r="D15" s="14" t="n">
        <f aca="false">IFERROR(SUMPRODUCT((Indikator!$B$10:$B$29=B15)*Indikator!$D$10:$D$29*Indikator!$E$10:$E$29)/C15,0)</f>
        <v>0</v>
      </c>
      <c r="E15" s="12" t="n">
        <f aca="false">COUNTIF(Indikator!$B$10:$B$29,B15)</f>
        <v>2</v>
      </c>
    </row>
    <row r="16" customFormat="false" ht="15" hidden="false" customHeight="false" outlineLevel="0" collapsed="false">
      <c r="A16" s="12" t="n">
        <v>3</v>
      </c>
      <c r="B16" s="13" t="s">
        <v>16</v>
      </c>
      <c r="C16" s="12" t="n">
        <v>15</v>
      </c>
      <c r="D16" s="14" t="n">
        <f aca="false">IFERROR(SUMPRODUCT((Indikator!$B$10:$B$29=B16)*Indikator!$D$10:$D$29*Indikator!$E$10:$E$29)/C16,0)</f>
        <v>0</v>
      </c>
      <c r="E16" s="12" t="n">
        <f aca="false">COUNTIF(Indikator!$B$10:$B$29,B16)</f>
        <v>4</v>
      </c>
    </row>
    <row r="17" customFormat="false" ht="15" hidden="false" customHeight="false" outlineLevel="0" collapsed="false">
      <c r="A17" s="12" t="n">
        <v>4</v>
      </c>
      <c r="B17" s="13" t="s">
        <v>17</v>
      </c>
      <c r="C17" s="12" t="n">
        <v>15</v>
      </c>
      <c r="D17" s="14" t="n">
        <f aca="false">IFERROR(SUMPRODUCT((Indikator!$B$10:$B$29=B17)*Indikator!$D$10:$D$29*Indikator!$E$10:$E$29)/C17,0)</f>
        <v>0</v>
      </c>
      <c r="E17" s="12" t="n">
        <f aca="false">COUNTIF(Indikator!$B$10:$B$29,B17)</f>
        <v>4</v>
      </c>
    </row>
    <row r="18" customFormat="false" ht="15" hidden="false" customHeight="false" outlineLevel="0" collapsed="false">
      <c r="A18" s="12" t="n">
        <v>5</v>
      </c>
      <c r="B18" s="13" t="s">
        <v>18</v>
      </c>
      <c r="C18" s="12" t="n">
        <v>10</v>
      </c>
      <c r="D18" s="14" t="n">
        <f aca="false">IFERROR(SUMPRODUCT((Indikator!$B$10:$B$29=B18)*Indikator!$D$10:$D$29*Indikator!$E$10:$E$29)/C18,0)</f>
        <v>0</v>
      </c>
      <c r="E18" s="12" t="n">
        <f aca="false">COUNTIF(Indikator!$B$10:$B$29,B18)</f>
        <v>2</v>
      </c>
    </row>
    <row r="19" customFormat="false" ht="15" hidden="false" customHeight="false" outlineLevel="0" collapsed="false">
      <c r="A19" s="12" t="n">
        <v>6</v>
      </c>
      <c r="B19" s="13" t="s">
        <v>19</v>
      </c>
      <c r="C19" s="12" t="n">
        <v>15</v>
      </c>
      <c r="D19" s="14" t="n">
        <f aca="false">IFERROR(SUMPRODUCT((Indikator!$B$10:$B$29=B19)*Indikator!$D$10:$D$29*Indikator!$E$10:$E$29)/C19,0)</f>
        <v>0</v>
      </c>
      <c r="E19" s="12" t="n">
        <f aca="false">COUNTIF(Indikator!$B$10:$B$29,B19)</f>
        <v>4</v>
      </c>
    </row>
    <row r="20" customFormat="false" ht="23.85" hidden="false" customHeight="false" outlineLevel="0" collapsed="false">
      <c r="A20" s="12" t="n">
        <v>7</v>
      </c>
      <c r="B20" s="13" t="s">
        <v>20</v>
      </c>
      <c r="C20" s="12" t="n">
        <v>25</v>
      </c>
      <c r="D20" s="14" t="n">
        <f aca="false">IFERROR(SUMPRODUCT((Indikator!$B$10:$B$29=B20)*Indikator!$D$10:$D$29*Indikator!$E$10:$E$29)/C20,0)</f>
        <v>0</v>
      </c>
      <c r="E20" s="12" t="n">
        <f aca="false">COUNTIF(Indikator!$B$10:$B$29,B20)</f>
        <v>2</v>
      </c>
    </row>
    <row r="21" customFormat="false" ht="15" hidden="false" customHeight="true" outlineLevel="0" collapsed="false">
      <c r="A21" s="15" t="s">
        <v>21</v>
      </c>
      <c r="B21" s="15"/>
      <c r="C21" s="16" t="n">
        <f aca="false">SUM(C14:C20)</f>
        <v>100</v>
      </c>
      <c r="D21" s="17" t="n">
        <f aca="false">SUMPRODUCT(C14:C20,D14:D20)/C21</f>
        <v>0</v>
      </c>
      <c r="E21" s="16" t="n">
        <f aca="false">SUM(E14:E20)</f>
        <v>20</v>
      </c>
    </row>
    <row r="23" customFormat="false" ht="15" hidden="false" customHeight="false" outlineLevel="0" collapsed="false">
      <c r="A23" s="9" t="s">
        <v>22</v>
      </c>
    </row>
    <row r="24" customFormat="false" ht="15" hidden="false" customHeight="true" outlineLevel="0" collapsed="false">
      <c r="A24" s="18" t="s">
        <v>23</v>
      </c>
      <c r="B24" s="18"/>
      <c r="C24" s="18"/>
      <c r="D24" s="18"/>
      <c r="E24" s="18"/>
    </row>
    <row r="25" customFormat="false" ht="22.35" hidden="false" customHeight="true" outlineLevel="0" collapsed="false">
      <c r="A25" s="18" t="s">
        <v>24</v>
      </c>
      <c r="B25" s="18"/>
      <c r="C25" s="18"/>
      <c r="D25" s="18"/>
      <c r="E25" s="18"/>
    </row>
    <row r="26" customFormat="false" ht="15" hidden="false" customHeight="true" outlineLevel="0" collapsed="false">
      <c r="A26" s="18" t="s">
        <v>25</v>
      </c>
      <c r="B26" s="18"/>
      <c r="C26" s="18"/>
      <c r="D26" s="18"/>
      <c r="E26" s="18"/>
    </row>
    <row r="27" customFormat="false" ht="32.8" hidden="false" customHeight="true" outlineLevel="0" collapsed="false">
      <c r="A27" s="18" t="s">
        <v>26</v>
      </c>
      <c r="B27" s="18"/>
      <c r="C27" s="18"/>
      <c r="D27" s="18"/>
      <c r="E27" s="18"/>
    </row>
    <row r="28" customFormat="false" ht="15" hidden="false" customHeight="false" outlineLevel="0" collapsed="false">
      <c r="A28" s="18"/>
      <c r="B28" s="18"/>
      <c r="C28" s="18"/>
      <c r="D28" s="18"/>
      <c r="E28" s="18"/>
    </row>
  </sheetData>
  <mergeCells count="15">
    <mergeCell ref="A1:B4"/>
    <mergeCell ref="C1:E1"/>
    <mergeCell ref="C2:E2"/>
    <mergeCell ref="C3:E3"/>
    <mergeCell ref="C4:E4"/>
    <mergeCell ref="A7:E7"/>
    <mergeCell ref="A8:E8"/>
    <mergeCell ref="B10:E10"/>
    <mergeCell ref="B11:E11"/>
    <mergeCell ref="A21:B21"/>
    <mergeCell ref="A24:E24"/>
    <mergeCell ref="A25:E25"/>
    <mergeCell ref="A26:E26"/>
    <mergeCell ref="A27:E27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8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</row>
    <row r="2" customFormat="false" ht="24" hidden="false" customHeight="true" outlineLevel="0" collapsed="false">
      <c r="A2" s="1"/>
      <c r="B2" s="1"/>
      <c r="C2" s="3" t="s">
        <v>2</v>
      </c>
      <c r="D2" s="3"/>
      <c r="E2" s="3"/>
      <c r="F2" s="3"/>
    </row>
    <row r="3" customFormat="false" ht="13.5" hidden="false" customHeight="true" outlineLevel="0" collapsed="false">
      <c r="A3" s="1"/>
      <c r="B3" s="1"/>
      <c r="C3" s="4" t="s">
        <v>3</v>
      </c>
      <c r="D3" s="4"/>
      <c r="E3" s="4"/>
      <c r="F3" s="4"/>
    </row>
    <row r="4" customFormat="false" ht="15" hidden="false" customHeight="false" outlineLevel="0" collapsed="false">
      <c r="A4" s="1"/>
      <c r="B4" s="1"/>
      <c r="C4" s="5"/>
      <c r="D4" s="5"/>
      <c r="E4" s="5"/>
      <c r="F4" s="5"/>
    </row>
    <row r="5" customFormat="false" ht="15" hidden="false" customHeight="false" outlineLevel="0" collapsed="false">
      <c r="A5" s="6"/>
      <c r="B5" s="6"/>
      <c r="C5" s="6"/>
      <c r="D5" s="6"/>
      <c r="E5" s="6"/>
      <c r="F5" s="6"/>
    </row>
    <row r="7" customFormat="false" ht="17.35" hidden="false" customHeight="true" outlineLevel="0" collapsed="false">
      <c r="A7" s="7" t="s">
        <v>27</v>
      </c>
      <c r="B7" s="7"/>
      <c r="C7" s="7"/>
      <c r="D7" s="7"/>
      <c r="E7" s="7"/>
      <c r="F7" s="7"/>
    </row>
    <row r="9" customFormat="false" ht="25.5" hidden="false" customHeight="true" outlineLevel="0" collapsed="false">
      <c r="A9" s="11" t="s">
        <v>9</v>
      </c>
      <c r="B9" s="11" t="s">
        <v>10</v>
      </c>
      <c r="C9" s="11" t="s">
        <v>28</v>
      </c>
      <c r="D9" s="11" t="s">
        <v>11</v>
      </c>
      <c r="E9" s="11" t="s">
        <v>29</v>
      </c>
      <c r="F9" s="11" t="s">
        <v>30</v>
      </c>
    </row>
    <row r="10" customFormat="false" ht="15" hidden="false" customHeight="false" outlineLevel="0" collapsed="false">
      <c r="A10" s="12" t="n">
        <v>1</v>
      </c>
      <c r="B10" s="13" t="s">
        <v>14</v>
      </c>
      <c r="C10" s="13" t="s">
        <v>31</v>
      </c>
      <c r="D10" s="12" t="n">
        <v>5</v>
      </c>
      <c r="E10" s="19" t="n">
        <v>0</v>
      </c>
      <c r="F10" s="14" t="n">
        <f aca="false">D10*E10/100</f>
        <v>0</v>
      </c>
    </row>
    <row r="11" customFormat="false" ht="15" hidden="false" customHeight="false" outlineLevel="0" collapsed="false">
      <c r="A11" s="12" t="n">
        <v>2</v>
      </c>
      <c r="B11" s="13" t="s">
        <v>14</v>
      </c>
      <c r="C11" s="13" t="s">
        <v>32</v>
      </c>
      <c r="D11" s="12" t="n">
        <v>5</v>
      </c>
      <c r="E11" s="19" t="n">
        <v>0</v>
      </c>
      <c r="F11" s="14" t="n">
        <f aca="false">D11*E11/100</f>
        <v>0</v>
      </c>
    </row>
    <row r="12" customFormat="false" ht="15" hidden="false" customHeight="false" outlineLevel="0" collapsed="false">
      <c r="A12" s="12" t="n">
        <v>3</v>
      </c>
      <c r="B12" s="13" t="s">
        <v>15</v>
      </c>
      <c r="C12" s="13" t="s">
        <v>33</v>
      </c>
      <c r="D12" s="12" t="n">
        <v>5</v>
      </c>
      <c r="E12" s="19" t="n">
        <v>0</v>
      </c>
      <c r="F12" s="14" t="n">
        <f aca="false">D12*E12/100</f>
        <v>0</v>
      </c>
    </row>
    <row r="13" customFormat="false" ht="15" hidden="false" customHeight="false" outlineLevel="0" collapsed="false">
      <c r="A13" s="12" t="n">
        <v>4</v>
      </c>
      <c r="B13" s="13" t="s">
        <v>15</v>
      </c>
      <c r="C13" s="13" t="s">
        <v>34</v>
      </c>
      <c r="D13" s="12" t="n">
        <v>5</v>
      </c>
      <c r="E13" s="19" t="n">
        <v>0</v>
      </c>
      <c r="F13" s="14" t="n">
        <f aca="false">D13*E13/100</f>
        <v>0</v>
      </c>
    </row>
    <row r="14" customFormat="false" ht="15" hidden="false" customHeight="false" outlineLevel="0" collapsed="false">
      <c r="A14" s="12" t="n">
        <v>5</v>
      </c>
      <c r="B14" s="13" t="s">
        <v>16</v>
      </c>
      <c r="C14" s="13" t="s">
        <v>35</v>
      </c>
      <c r="D14" s="12" t="n">
        <v>4</v>
      </c>
      <c r="E14" s="19" t="n">
        <v>0</v>
      </c>
      <c r="F14" s="14" t="n">
        <f aca="false">D14*E14/100</f>
        <v>0</v>
      </c>
    </row>
    <row r="15" customFormat="false" ht="15" hidden="false" customHeight="false" outlineLevel="0" collapsed="false">
      <c r="A15" s="12" t="n">
        <v>6</v>
      </c>
      <c r="B15" s="13" t="s">
        <v>16</v>
      </c>
      <c r="C15" s="13" t="s">
        <v>36</v>
      </c>
      <c r="D15" s="12" t="n">
        <v>4</v>
      </c>
      <c r="E15" s="19" t="n">
        <v>0</v>
      </c>
      <c r="F15" s="14" t="n">
        <f aca="false">D15*E15/100</f>
        <v>0</v>
      </c>
    </row>
    <row r="16" customFormat="false" ht="15" hidden="false" customHeight="false" outlineLevel="0" collapsed="false">
      <c r="A16" s="12" t="n">
        <v>7</v>
      </c>
      <c r="B16" s="13" t="s">
        <v>16</v>
      </c>
      <c r="C16" s="13" t="s">
        <v>37</v>
      </c>
      <c r="D16" s="12" t="n">
        <v>4</v>
      </c>
      <c r="E16" s="19" t="n">
        <v>0</v>
      </c>
      <c r="F16" s="14" t="n">
        <f aca="false">D16*E16/100</f>
        <v>0</v>
      </c>
    </row>
    <row r="17" customFormat="false" ht="15" hidden="false" customHeight="false" outlineLevel="0" collapsed="false">
      <c r="A17" s="12" t="n">
        <v>8</v>
      </c>
      <c r="B17" s="13" t="s">
        <v>16</v>
      </c>
      <c r="C17" s="13" t="s">
        <v>38</v>
      </c>
      <c r="D17" s="12" t="n">
        <v>3</v>
      </c>
      <c r="E17" s="19" t="n">
        <v>0</v>
      </c>
      <c r="F17" s="14" t="n">
        <f aca="false">D17*E17/100</f>
        <v>0</v>
      </c>
    </row>
    <row r="18" customFormat="false" ht="15" hidden="false" customHeight="false" outlineLevel="0" collapsed="false">
      <c r="A18" s="12" t="n">
        <v>9</v>
      </c>
      <c r="B18" s="13" t="s">
        <v>17</v>
      </c>
      <c r="C18" s="13" t="s">
        <v>39</v>
      </c>
      <c r="D18" s="12" t="n">
        <v>4</v>
      </c>
      <c r="E18" s="19" t="n">
        <v>0</v>
      </c>
      <c r="F18" s="14" t="n">
        <f aca="false">D18*E18/100</f>
        <v>0</v>
      </c>
    </row>
    <row r="19" customFormat="false" ht="15" hidden="false" customHeight="false" outlineLevel="0" collapsed="false">
      <c r="A19" s="12" t="n">
        <v>10</v>
      </c>
      <c r="B19" s="13" t="s">
        <v>17</v>
      </c>
      <c r="C19" s="13" t="s">
        <v>40</v>
      </c>
      <c r="D19" s="12" t="n">
        <v>4</v>
      </c>
      <c r="E19" s="19" t="n">
        <v>0</v>
      </c>
      <c r="F19" s="14" t="n">
        <f aca="false">D19*E19/100</f>
        <v>0</v>
      </c>
    </row>
    <row r="20" customFormat="false" ht="15" hidden="false" customHeight="false" outlineLevel="0" collapsed="false">
      <c r="A20" s="12" t="n">
        <v>11</v>
      </c>
      <c r="B20" s="13" t="s">
        <v>17</v>
      </c>
      <c r="C20" s="13" t="s">
        <v>41</v>
      </c>
      <c r="D20" s="12" t="n">
        <v>4</v>
      </c>
      <c r="E20" s="19" t="n">
        <v>0</v>
      </c>
      <c r="F20" s="14" t="n">
        <f aca="false">D20*E20/100</f>
        <v>0</v>
      </c>
    </row>
    <row r="21" customFormat="false" ht="15" hidden="false" customHeight="false" outlineLevel="0" collapsed="false">
      <c r="A21" s="12" t="n">
        <v>12</v>
      </c>
      <c r="B21" s="13" t="s">
        <v>17</v>
      </c>
      <c r="C21" s="13" t="s">
        <v>42</v>
      </c>
      <c r="D21" s="12" t="n">
        <v>3</v>
      </c>
      <c r="E21" s="19" t="n">
        <v>0</v>
      </c>
      <c r="F21" s="14" t="n">
        <f aca="false">D21*E21/100</f>
        <v>0</v>
      </c>
    </row>
    <row r="22" customFormat="false" ht="15" hidden="false" customHeight="false" outlineLevel="0" collapsed="false">
      <c r="A22" s="12" t="n">
        <v>13</v>
      </c>
      <c r="B22" s="13" t="s">
        <v>18</v>
      </c>
      <c r="C22" s="13" t="s">
        <v>43</v>
      </c>
      <c r="D22" s="12" t="n">
        <v>5</v>
      </c>
      <c r="E22" s="19" t="n">
        <v>0</v>
      </c>
      <c r="F22" s="14" t="n">
        <f aca="false">D22*E22/100</f>
        <v>0</v>
      </c>
    </row>
    <row r="23" customFormat="false" ht="15" hidden="false" customHeight="false" outlineLevel="0" collapsed="false">
      <c r="A23" s="12" t="n">
        <v>14</v>
      </c>
      <c r="B23" s="13" t="s">
        <v>18</v>
      </c>
      <c r="C23" s="13" t="s">
        <v>44</v>
      </c>
      <c r="D23" s="12" t="n">
        <v>5</v>
      </c>
      <c r="E23" s="19" t="n">
        <v>0</v>
      </c>
      <c r="F23" s="14" t="n">
        <f aca="false">D23*E23/100</f>
        <v>0</v>
      </c>
    </row>
    <row r="24" customFormat="false" ht="15" hidden="false" customHeight="false" outlineLevel="0" collapsed="false">
      <c r="A24" s="12" t="n">
        <v>15</v>
      </c>
      <c r="B24" s="13" t="s">
        <v>19</v>
      </c>
      <c r="C24" s="13" t="s">
        <v>45</v>
      </c>
      <c r="D24" s="12" t="n">
        <v>4</v>
      </c>
      <c r="E24" s="19" t="n">
        <v>0</v>
      </c>
      <c r="F24" s="14" t="n">
        <f aca="false">D24*E24/100</f>
        <v>0</v>
      </c>
    </row>
    <row r="25" customFormat="false" ht="15" hidden="false" customHeight="false" outlineLevel="0" collapsed="false">
      <c r="A25" s="12" t="n">
        <v>16</v>
      </c>
      <c r="B25" s="13" t="s">
        <v>19</v>
      </c>
      <c r="C25" s="13" t="s">
        <v>46</v>
      </c>
      <c r="D25" s="12" t="n">
        <v>4</v>
      </c>
      <c r="E25" s="19" t="n">
        <v>0</v>
      </c>
      <c r="F25" s="14" t="n">
        <f aca="false">D25*E25/100</f>
        <v>0</v>
      </c>
    </row>
    <row r="26" customFormat="false" ht="15" hidden="false" customHeight="false" outlineLevel="0" collapsed="false">
      <c r="A26" s="12" t="n">
        <v>17</v>
      </c>
      <c r="B26" s="13" t="s">
        <v>19</v>
      </c>
      <c r="C26" s="13" t="s">
        <v>47</v>
      </c>
      <c r="D26" s="12" t="n">
        <v>4</v>
      </c>
      <c r="E26" s="19" t="n">
        <v>0</v>
      </c>
      <c r="F26" s="14" t="n">
        <f aca="false">D26*E26/100</f>
        <v>0</v>
      </c>
    </row>
    <row r="27" customFormat="false" ht="15" hidden="false" customHeight="false" outlineLevel="0" collapsed="false">
      <c r="A27" s="12" t="n">
        <v>18</v>
      </c>
      <c r="B27" s="13" t="s">
        <v>19</v>
      </c>
      <c r="C27" s="13" t="s">
        <v>48</v>
      </c>
      <c r="D27" s="12" t="n">
        <v>3</v>
      </c>
      <c r="E27" s="19" t="n">
        <v>0</v>
      </c>
      <c r="F27" s="14" t="n">
        <f aca="false">D27*E27/100</f>
        <v>0</v>
      </c>
    </row>
    <row r="28" customFormat="false" ht="23.85" hidden="false" customHeight="false" outlineLevel="0" collapsed="false">
      <c r="A28" s="12" t="n">
        <v>19</v>
      </c>
      <c r="B28" s="13" t="s">
        <v>20</v>
      </c>
      <c r="C28" s="13" t="s">
        <v>49</v>
      </c>
      <c r="D28" s="12" t="n">
        <v>13</v>
      </c>
      <c r="E28" s="19" t="n">
        <v>0</v>
      </c>
      <c r="F28" s="14" t="n">
        <f aca="false">D28*E28/100</f>
        <v>0</v>
      </c>
    </row>
    <row r="29" customFormat="false" ht="23.85" hidden="false" customHeight="false" outlineLevel="0" collapsed="false">
      <c r="A29" s="12" t="n">
        <v>20</v>
      </c>
      <c r="B29" s="13" t="s">
        <v>20</v>
      </c>
      <c r="C29" s="13" t="s">
        <v>50</v>
      </c>
      <c r="D29" s="12" t="n">
        <v>12</v>
      </c>
      <c r="E29" s="19" t="n">
        <v>0</v>
      </c>
      <c r="F29" s="14" t="n">
        <f aca="false">D29*E29/100</f>
        <v>0</v>
      </c>
    </row>
    <row r="30" customFormat="false" ht="15" hidden="false" customHeight="true" outlineLevel="0" collapsed="false">
      <c r="A30" s="15" t="s">
        <v>51</v>
      </c>
      <c r="B30" s="15"/>
      <c r="C30" s="15"/>
      <c r="D30" s="20" t="n">
        <f aca="false">SUM(D10:D29)</f>
        <v>100</v>
      </c>
      <c r="E30" s="16"/>
      <c r="F30" s="17" t="n">
        <f aca="false">SUM(F10:F29)</f>
        <v>0</v>
      </c>
    </row>
    <row r="32" customFormat="false" ht="15" hidden="false" customHeight="true" outlineLevel="0" collapsed="false">
      <c r="A32" s="21" t="s">
        <v>22</v>
      </c>
      <c r="B32" s="21"/>
      <c r="C32" s="21"/>
      <c r="D32" s="21"/>
      <c r="E32" s="21"/>
      <c r="F32" s="21"/>
    </row>
    <row r="33" customFormat="false" ht="22.35" hidden="false" customHeight="true" outlineLevel="0" collapsed="false">
      <c r="A33" s="18" t="s">
        <v>52</v>
      </c>
      <c r="B33" s="18"/>
      <c r="C33" s="18"/>
      <c r="D33" s="18"/>
      <c r="E33" s="18"/>
      <c r="F33" s="18"/>
    </row>
    <row r="34" customFormat="false" ht="15" hidden="false" customHeight="true" outlineLevel="0" collapsed="false">
      <c r="A34" s="18" t="s">
        <v>53</v>
      </c>
      <c r="B34" s="18"/>
      <c r="C34" s="18"/>
      <c r="D34" s="18"/>
      <c r="E34" s="18"/>
      <c r="F34" s="18"/>
    </row>
    <row r="35" customFormat="false" ht="15" hidden="false" customHeight="true" outlineLevel="0" collapsed="false">
      <c r="A35" s="18" t="s">
        <v>54</v>
      </c>
      <c r="B35" s="18"/>
      <c r="C35" s="18"/>
      <c r="D35" s="18"/>
      <c r="E35" s="18"/>
      <c r="F35" s="18"/>
    </row>
    <row r="36" customFormat="false" ht="15" hidden="false" customHeight="true" outlineLevel="0" collapsed="false">
      <c r="A36" s="18" t="s">
        <v>55</v>
      </c>
      <c r="B36" s="18"/>
      <c r="C36" s="18"/>
      <c r="D36" s="18"/>
      <c r="E36" s="18"/>
      <c r="F36" s="18"/>
    </row>
  </sheetData>
  <mergeCells count="12">
    <mergeCell ref="A1:B4"/>
    <mergeCell ref="C1:F1"/>
    <mergeCell ref="C2:F2"/>
    <mergeCell ref="C3:F3"/>
    <mergeCell ref="C4:F4"/>
    <mergeCell ref="A7:F7"/>
    <mergeCell ref="A30:C30"/>
    <mergeCell ref="A32:F32"/>
    <mergeCell ref="A33:F33"/>
    <mergeCell ref="A34:F34"/>
    <mergeCell ref="A35:F35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2026-07-23T03:31:08Z</dcterms:created>
  <dc:creator>openpyxl</dc:creator>
  <dc:description/>
  <dc:language>en-US</dc:language>
  <cp:lastModifiedBy/>
  <dcterms:modified xsi:type="dcterms:W3CDTF">2026-07-23T03:31:14Z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